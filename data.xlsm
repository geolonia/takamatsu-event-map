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shikawashinichi/Downloads/"/>
    </mc:Choice>
  </mc:AlternateContent>
  <xr:revisionPtr revIDLastSave="0" documentId="13_ncr:1_{7D3C38EB-2E55-9A4A-8889-A4ED87B010A0}" xr6:coauthVersionLast="47" xr6:coauthVersionMax="47" xr10:uidLastSave="{00000000-0000-0000-0000-000000000000}"/>
  <bookViews>
    <workbookView xWindow="0" yWindow="500" windowWidth="38400" windowHeight="20940" xr2:uid="{00000000-000D-0000-FFFF-FFFF00000000}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K2" i="3" l="1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A4" i="1"/>
  <c r="B6" i="3"/>
  <c r="C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<sst xmlns="http://schemas.openxmlformats.org/spreadsheetml/2006/main" count="616" uniqueCount="316">
  <si>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</si>
  <si>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</si>
  <si>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</si>
  <si>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</si>
  <si>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</si>
  <si>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</si>
  <si>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</si>
  <si>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</si>
  <si>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</si>
  <si>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</si>
  <si>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</si>
  <si>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</si>
  <si>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</si>
  <si>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</si>
  <si>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</si>
  <si>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</si>
  <si>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</si>
  <si>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</si>
  <si>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</si>
  <si>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</si>
  <si>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</si>
  <si>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</si>
  <si>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</si>
  <si>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</si>
  <si>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</si>
  <si>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</si>
  <si>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</si>
  <si>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</si>
  <si>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</si>
  <si>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</si>
  <si>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</si>
  <si>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</si>
  <si>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</si>
  <si>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</si>
  <si>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</si>
  <si>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</si>
  <si>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</si>
  <si>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</si>
  <si>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</si>
  <si>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</si>
  <si>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</si>
  <si>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</si>
  <si>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</si>
  <si>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</si>
  <si>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</si>
  <si>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</si>
  <si>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</si>
  <si>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</si>
  <si>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</si>
  <si>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</si>
  <si>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</si>
  <si>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</si>
  <si>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</si>
  <si>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</si>
  <si>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</si>
  <si>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</si>
  <si>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</si>
  <si>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</si>
  <si>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</si>
  <si>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</si>
  <si>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</si>
  <si>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</si>
  <si>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</si>
  <si>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</si>
  <si>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</si>
  <si>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</si>
  <si>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</si>
  <si>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</si>
  <si>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</si>
  <si>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</si>
  <si>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</si>
  <si>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</si>
  <si>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</si>
  <si>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</si>
  <si>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</si>
  <si>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</si>
  <si>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</si>
  <si>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</si>
  <si>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</si>
  <si>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</si>
  <si>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</si>
  <si>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</si>
  <si>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</si>
  <si>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</si>
  <si>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</si>
  <si>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</si>
  <si>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</si>
  <si>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</si>
  <si>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</si>
  <si>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</si>
  <si>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</si>
  <si>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</si>
  <si>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</si>
  <si>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</si>
  <si>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</si>
  <si>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</si>
  <si>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</si>
  <si>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</si>
  <si>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</si>
  <si>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</si>
  <si>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</si>
  <si>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</si>
  <si>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</si>
  <si>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</si>
  <si>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</si>
  <si>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</si>
  <si>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</si>
  <si>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</si>
  <si>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</si>
  <si>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</si>
  <si>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</si>
  <si>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</si>
  <si>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</si>
  <si>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</si>
  <si>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</si>
  <si>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</si>
  <si>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</si>
  <si>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</si>
  <si>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</si>
  <si>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</si>
  <si>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</si>
  <si>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</si>
  <si>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</si>
  <si>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</si>
  <si>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</si>
  <si>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</si>
  <si>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</si>
  <si>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</si>
  <si>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</si>
  <si>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</si>
  <si>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</si>
  <si>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</si>
  <si>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</si>
  <si>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</si>
  <si>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</si>
  <si>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</si>
  <si>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</si>
  <si>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</si>
  <si>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</si>
  <si>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</si>
  <si>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</si>
  <si>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</si>
  <si>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</si>
  <si>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</si>
  <si>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</si>
  <si>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</si>
  <si>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</si>
  <si>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</si>
  <si>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</si>
  <si>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</si>
  <si>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</si>
  <si>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</si>
  <si>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</si>
  <si>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</si>
  <si>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</si>
  <si>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</si>
  <si>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</si>
  <si>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</si>
  <si>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</si>
  <si>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</si>
  <si>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</si>
  <si>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</si>
  <si>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</si>
  <si>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</si>
  <si>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</si>
  <si>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</si>
  <si>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</si>
  <si>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</si>
  <si>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</si>
  <si>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</si>
  <si>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</si>
  <si>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</si>
  <si>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</si>
  <si>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</si>
  <si>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</si>
  <si>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</si>
  <si>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</si>
  <si>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</si>
  <si>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</si>
  <si>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</si>
  <si>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</si>
  <si>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</si>
  <si>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</si>
  <si>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</si>
  <si>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</si>
  <si>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</si>
  <si>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</si>
  <si>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</si>
  <si>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</si>
  <si>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</si>
  <si>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</si>
  <si>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</si>
  <si>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</si>
  <si>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</si>
  <si>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</si>
  <si>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</si>
  <si>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</si>
  <si>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</si>
  <si>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</si>
  <si>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</si>
  <si>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</si>
  <si>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</si>
  <si>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</si>
  <si>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</si>
  <si>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</si>
  <si>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</si>
  <si>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</si>
  <si>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</si>
  <si>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</si>
  <si>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</si>
  <si>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</si>
  <si>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</si>
  <si>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</si>
  <si>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</si>
  <si>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</si>
  <si>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</si>
  <si>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</si>
  <si>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</si>
  <si>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</si>
  <si>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</si>
  <si>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</si>
  <si>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</si>
  <si>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</si>
  <si>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</si>
  <si>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</si>
  <si>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</si>
  <si>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</si>
  <si>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</si>
  <si>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</si>
  <si>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</si>
  <si>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</si>
  <si>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</si>
  <si>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</si>
  <si>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</si>
  <si>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</si>
  <si>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</si>
  <si>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</si>
  <si>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</si>
  <si>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</si>
  <si>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</si>
  <si>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</si>
  <si>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</si>
  <si>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</si>
  <si>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買い物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</si>
  <si>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</si>
  <si>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</si>
  <si>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</si>
  <si>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</si>
  <si>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16:00</t>
  </si>
  <si>
    <t>サンポート高松 多目的広場、大型テント広場、高松シンボルタワー デックスガレリア、マリタイムプラザ高松</t>
  </si>
  <si>
    <t>〒760-0019 香川県高松市サンポート３−３３</t>
  </si>
  <si>
    <t xml:space="preserve">https://www.kamatamare.jp/news/?id=1827&amp;item=INFO
</t>
  </si>
  <si>
    <t>スポーツ、食事、遊び</t>
    <rPh sb="5" eb="7">
      <t>ショクジ</t>
    </rPh>
    <rPh sb="8" eb="9">
      <t>アソ</t>
    </rPh>
    <phoneticPr fontId="2"/>
  </si>
  <si>
    <t>学園祭（ステージイベント、キッチンカー、飲食スペース）</t>
  </si>
  <si>
    <t>専門学校穴吹工科カレッジ</t>
  </si>
  <si>
    <t>087-815-3200</t>
  </si>
  <si>
    <t>〒760-0019 香川県高松市サンポート３−３４</t>
  </si>
  <si>
    <t>https://www.symboltower.com/event/outdoor/entry-1699.html</t>
  </si>
  <si>
    <t>学祭、買い物、遊び</t>
    <rPh sb="0" eb="2">
      <t>ガクサイ</t>
    </rPh>
    <rPh sb="3" eb="4">
      <t>カ</t>
    </rPh>
    <rPh sb="5" eb="6">
      <t>モノ</t>
    </rPh>
    <rPh sb="7" eb="8">
      <t>アソ</t>
    </rPh>
    <phoneticPr fontId="2"/>
  </si>
  <si>
    <t>7月16日のワゴンマーケットは、マリタイムプラザで開催！15ブースの出店で開催します。アクセサリー・雑貨などの販売や、ワークショップもございます。</t>
  </si>
  <si>
    <t>cafe &amp; Gallery #トキワパーラー</t>
  </si>
  <si>
    <t>050-1184-6893</t>
  </si>
  <si>
    <t>マリタイムプラザ高松</t>
    <rPh sb="8" eb="10">
      <t>タカマツ</t>
    </rPh>
    <phoneticPr fontId="2"/>
  </si>
  <si>
    <t>〒760-0019 香川県高松市サンポート２−１</t>
  </si>
  <si>
    <t>https://www.symboltower.com/event/decks/entry-1485.html</t>
  </si>
  <si>
    <t>なし</t>
  </si>
  <si>
    <t>マルシェ、買い物</t>
    <rPh sb="5" eb="6">
      <t>カ</t>
    </rPh>
    <rPh sb="7" eb="8">
      <t>モノ</t>
    </rPh>
    <phoneticPr fontId="2"/>
  </si>
  <si>
    <t>アマチュア落語家による寄席</t>
  </si>
  <si>
    <t>サンポート高松ビュッフェコーナー</t>
  </si>
  <si>
    <t>087-811-2281</t>
  </si>
  <si>
    <t>展示場（ホール棟1F）</t>
  </si>
  <si>
    <t>https://www.symboltower.com/event/exhibition/entry-1695.html</t>
  </si>
  <si>
    <t>落語、講演</t>
    <rPh sb="0" eb="2">
      <t>ラクゴ</t>
    </rPh>
    <rPh sb="3" eb="5">
      <t>コウエン</t>
    </rPh>
    <phoneticPr fontId="2"/>
  </si>
  <si>
    <t>環境問題とクラシック音楽？！どんなふうに結びつくのか？！SDGsと音楽をコラボさせた前代未聞のコンサート！</t>
  </si>
  <si>
    <t>一般　　￥1,500
こども　￥500</t>
  </si>
  <si>
    <t>サンポートホール高松　2F管理事務室</t>
  </si>
  <si>
    <t>087-825-5010</t>
  </si>
  <si>
    <t>香川県教育会館　ミューズホール</t>
  </si>
  <si>
    <t>高松市西宝町2丁目6番40号</t>
  </si>
  <si>
    <t>https://www.sunport-hall.jp/event/2023/002080.html</t>
  </si>
  <si>
    <t>音楽、コンサート</t>
    <rPh sb="0" eb="2">
      <t>オンガク</t>
    </rPh>
    <phoneticPr fontId="2"/>
  </si>
  <si>
    <t>レディースファッション　ポラリス</t>
  </si>
  <si>
    <t>有限会社ポラリス</t>
  </si>
  <si>
    <t>078-591-2211</t>
  </si>
  <si>
    <t>市民ギャラリー（ホール棟1F）</t>
  </si>
  <si>
    <t>https://www.symboltower.com/event/gallery/entry-1685.html</t>
  </si>
  <si>
    <t>刀剣展示即売会</t>
  </si>
  <si>
    <t>株式会社安東貿易</t>
  </si>
  <si>
    <t>086-226-1251</t>
  </si>
  <si>
    <t>https://www.symboltower.com/event/gallery/entry-1686.html</t>
  </si>
  <si>
    <t>刀、展示会</t>
    <rPh sb="0" eb="1">
      <t>カタナ</t>
    </rPh>
    <rPh sb="2" eb="5">
      <t>テンジカイ</t>
    </rPh>
    <phoneticPr fontId="2"/>
  </si>
  <si>
    <t>17:00</t>
  </si>
  <si>
    <t>16:15</t>
  </si>
  <si>
    <t>11:00</t>
  </si>
  <si>
    <t>13:30</t>
  </si>
  <si>
    <t>10:30</t>
  </si>
  <si>
    <t>香川プロスポーツクラブ連絡協議会</t>
    <phoneticPr fontId="2"/>
  </si>
  <si>
    <t>専門学校穴吹工科カレッジ</t>
    <phoneticPr fontId="2"/>
  </si>
  <si>
    <t>シンボルタワー開発株式会社</t>
    <phoneticPr fontId="2"/>
  </si>
  <si>
    <t>サンポート高松ビュッフェコーナー</t>
    <phoneticPr fontId="2"/>
  </si>
  <si>
    <t>香川県公立文化施設協議会</t>
    <phoneticPr fontId="2"/>
  </si>
  <si>
    <t>有限会社ポラリス</t>
    <phoneticPr fontId="2"/>
  </si>
  <si>
    <t>株式会社安東貿易</t>
    <phoneticPr fontId="2"/>
  </si>
  <si>
    <t>スポーツ・ウェルネス</t>
    <phoneticPr fontId="2"/>
  </si>
  <si>
    <t>文化・芸術</t>
    <phoneticPr fontId="2"/>
  </si>
  <si>
    <t>趣味・生活</t>
    <phoneticPr fontId="2"/>
  </si>
  <si>
    <t>音楽</t>
    <phoneticPr fontId="2"/>
  </si>
  <si>
    <t>レディース、ファッション</t>
    <phoneticPr fontId="2"/>
  </si>
  <si>
    <t>臼杵石仏</t>
  </si>
  <si>
    <t>古園石仏大日如来像に代表される臼杵石仏（磨崖仏）は、平安時代後期から鎌倉時代にかけて彫刻されたと言われています。</t>
    <phoneticPr fontId="2"/>
  </si>
  <si>
    <t>臼杵八坂神社</t>
    <rPh sb="0" eb="1">
      <t xml:space="preserve">ウスキハサカジンジャ </t>
    </rPh>
    <rPh sb="2" eb="6">
      <t>ヤサカジn</t>
    </rPh>
    <phoneticPr fontId="2"/>
  </si>
  <si>
    <t>臼杵城跡</t>
    <rPh sb="0" eb="1">
      <t xml:space="preserve">ウスキジョウセキ </t>
    </rPh>
    <phoneticPr fontId="2"/>
  </si>
  <si>
    <t>臼杵風連鍾乳洞</t>
    <rPh sb="0" eb="2">
      <t xml:space="preserve">ウスキイ </t>
    </rPh>
    <rPh sb="2" eb="3">
      <t xml:space="preserve">カゼ </t>
    </rPh>
    <rPh sb="3" eb="4">
      <t xml:space="preserve">レンゾク </t>
    </rPh>
    <rPh sb="4" eb="7">
      <t xml:space="preserve">ショウニュウドウ </t>
    </rPh>
    <phoneticPr fontId="2"/>
  </si>
  <si>
    <t>二王座歴史の道</t>
  </si>
  <si>
    <t>龍原寺三重塔</t>
    <phoneticPr fontId="2"/>
  </si>
  <si>
    <t>クレドホテル臼杵</t>
    <rPh sb="6" eb="8">
      <t xml:space="preserve">ウスキ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</si>
</sst>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_);[Red]\(0.0000000000000\)"/>
  </numFmts>
  <fonts count="23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  <font>
      <u/>
      <sz val="10"/>
      <color theme="1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97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7" xfId="0" applyFont="1" applyBorder="1" applyAlignment="1">
      <alignment horizontal="left" vertical="center" wrapText="1"/>
    </xf>
    <xf numFmtId="0" fontId="18" fillId="0" borderId="17" xfId="0" applyFont="1" applyBorder="1" applyAlignment="1">
      <alignment vertical="center" wrapText="1"/>
    </xf>
    <xf numFmtId="0" fontId="18" fillId="0" borderId="18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49" fontId="18" fillId="0" borderId="17" xfId="0" applyNumberFormat="1" applyFont="1" applyBorder="1" applyAlignment="1">
      <alignment vertical="center" wrapText="1"/>
    </xf>
    <xf numFmtId="49" fontId="18" fillId="0" borderId="20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7" xfId="0" applyNumberFormat="1" applyFont="1" applyBorder="1" applyAlignment="1">
      <alignment vertical="center" wrapText="1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3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176" fontId="18" fillId="0" borderId="4" xfId="0" applyNumberFormat="1" applyFont="1" applyBorder="1" applyAlignment="1">
      <alignment vertical="center"/>
    </xf>
    <xf numFmtId="0" fontId="22" fillId="0" borderId="17" xfId="1" applyFont="1" applyFill="1" applyBorder="1" applyAlignment="1">
      <alignment vertical="center" wrapText="1"/>
    </xf>
    <xf numFmtId="0" fontId="22" fillId="0" borderId="4" xfId="1" applyFont="1" applyBorder="1" applyAlignment="1">
      <alignment vertical="center" wrapText="1"/>
    </xf>
    <xf numFmtId="0" fontId="18" fillId="9" borderId="18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 wrapText="1"/>
    </xf>
    <xf numFmtId="0" fontId="18" fillId="9" borderId="4" xfId="0" applyFont="1" applyFill="1" applyBorder="1" applyAlignment="1">
      <alignment vertical="center"/>
    </xf>
    <xf numFmtId="0" fontId="18" fillId="9" borderId="1" xfId="0" applyFont="1" applyFill="1" applyBorder="1" applyAlignment="1">
      <alignment vertical="center"/>
    </xf>
    <xf numFmtId="0" fontId="18" fillId="9" borderId="19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14" fontId="18" fillId="9" borderId="17" xfId="0" applyNumberFormat="1" applyFont="1" applyFill="1" applyBorder="1" applyAlignment="1">
      <alignment vertical="center" wrapText="1"/>
    </xf>
    <xf numFmtId="20" fontId="18" fillId="9" borderId="17" xfId="0" applyNumberFormat="1" applyFont="1" applyFill="1" applyBorder="1" applyAlignment="1">
      <alignment vertical="center" wrapText="1"/>
    </xf>
    <xf numFmtId="0" fontId="6" fillId="6" borderId="4" xfId="0" applyFont="1" applyFill="1" applyBorder="1" applyAlignment="1">
      <alignment horizontal="center" vertical="center"/>
    </xf>
    <xf numFmtId="14" fontId="18" fillId="0" borderId="17" xfId="0" applyNumberFormat="1" applyFont="1" applyBorder="1" applyAlignment="1">
      <alignment vertical="center" wrapText="1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9" fillId="7" borderId="13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21"/>
  <sheetViews>
    <sheetView tabSelected="1" zoomScale="117" zoomScaleNormal="90" workbookViewId="0">
      <pane xSplit="10" ySplit="6" topLeftCell="X7" activePane="bottomRight" state="frozen"/>
      <selection activeCell="B1" sqref="B1"/>
      <selection pane="topRight" activeCell="L1" sqref="L1"/>
      <selection pane="bottomLeft" activeCell="B7" sqref="B7"/>
      <selection pane="bottomRight" activeCell="J14" sqref="J14"/>
    </sheetView>
  </sheetViews>
  <sheetFormatPr baseColWidth="10" defaultColWidth="14.5" defaultRowHeight="15"/>
  <cols>
    <col min="1" max="1" width="12" style="34" bestFit="1" customWidth="1"/>
    <col min="2" max="5" width="18.5" style="34" hidden="1" customWidth="1"/>
    <col min="6" max="6" width="36.6640625" style="61" customWidth="1"/>
    <col min="7" max="8" width="36.6640625" style="34" hidden="1" customWidth="1"/>
    <col min="9" max="9" width="15.1640625" style="34" customWidth="1"/>
    <col min="10" max="12" width="14.5" style="34" bestFit="1" customWidth="1"/>
    <col min="13" max="13" width="18.1640625" style="61" customWidth="1"/>
    <col min="14" max="14" width="43.33203125" style="61" customWidth="1"/>
    <col min="15" max="15" width="14.5" style="34" bestFit="1" customWidth="1"/>
    <col min="16" max="16" width="30.33203125" style="61" customWidth="1"/>
    <col min="17" max="17" width="38.33203125" style="34" bestFit="1" customWidth="1"/>
    <col min="18" max="18" width="20.83203125" style="34" bestFit="1" customWidth="1"/>
    <col min="19" max="20" width="38.1640625" style="34" customWidth="1"/>
    <col min="21" max="21" width="40.1640625" style="34" customWidth="1"/>
    <col min="22" max="22" width="14.5" style="34" bestFit="1" customWidth="1"/>
    <col min="23" max="23" width="21.6640625" style="34" bestFit="1" customWidth="1"/>
    <col min="24" max="24" width="23" style="34" bestFit="1" customWidth="1"/>
    <col min="25" max="25" width="35.33203125" style="34" customWidth="1"/>
    <col min="26" max="30" width="14.5" style="34" hidden="1" customWidth="1"/>
    <col min="31" max="31" width="31.1640625" style="61" customWidth="1"/>
    <col min="32" max="32" width="16.5" style="34" bestFit="1" customWidth="1"/>
    <col min="33" max="34" width="14.5" style="34"/>
    <col min="35" max="35" width="14.5" style="34" bestFit="1" customWidth="1"/>
    <col min="36" max="36" width="34.83203125" style="34" customWidth="1"/>
    <col min="37" max="37" width="43.33203125" style="34" customWidth="1"/>
    <col min="38" max="16384" width="14.5" style="34"/>
  </cols>
  <sheetData>
    <row r="1" spans="1:37" ht="32">
      <c r="A1" s="39" t="s">
        <v>244</v>
      </c>
      <c r="B1" s="40" t="s">
        <v>15</v>
      </c>
      <c r="C1" s="41" t="s">
        <v>18</v>
      </c>
      <c r="D1" s="41" t="s">
        <v>21</v>
      </c>
      <c r="E1" s="41" t="s">
        <v>24</v>
      </c>
      <c r="F1" s="41" t="s">
        <v>26</v>
      </c>
      <c r="G1" s="41" t="s">
        <v>29</v>
      </c>
      <c r="H1" s="41" t="s">
        <v>32</v>
      </c>
      <c r="I1" s="41" t="s">
        <v>35</v>
      </c>
      <c r="J1" s="41" t="s">
        <v>37</v>
      </c>
      <c r="K1" s="41" t="s">
        <v>38</v>
      </c>
      <c r="L1" s="41" t="s">
        <v>41</v>
      </c>
      <c r="M1" s="42" t="s">
        <v>43</v>
      </c>
      <c r="N1" s="41" t="s">
        <v>4</v>
      </c>
      <c r="O1" s="41" t="s">
        <v>48</v>
      </c>
      <c r="P1" s="41" t="s">
        <v>51</v>
      </c>
      <c r="Q1" s="41" t="s">
        <v>54</v>
      </c>
      <c r="R1" s="41" t="s">
        <v>57</v>
      </c>
      <c r="S1" s="41" t="s">
        <v>63</v>
      </c>
      <c r="T1" s="41" t="s">
        <v>65</v>
      </c>
      <c r="U1" s="41" t="s">
        <v>68</v>
      </c>
      <c r="V1" s="41" t="s">
        <v>71</v>
      </c>
      <c r="W1" s="41" t="s">
        <v>73</v>
      </c>
      <c r="X1" s="41" t="s">
        <v>75</v>
      </c>
      <c r="Y1" s="41" t="s">
        <v>77</v>
      </c>
      <c r="Z1" s="41" t="s">
        <v>80</v>
      </c>
      <c r="AA1" s="41" t="s">
        <v>82</v>
      </c>
      <c r="AB1" s="41" t="s">
        <v>84</v>
      </c>
      <c r="AC1" s="41" t="s">
        <v>86</v>
      </c>
      <c r="AD1" s="41" t="s">
        <v>88</v>
      </c>
      <c r="AE1" s="41" t="s">
        <v>90</v>
      </c>
      <c r="AF1" s="41" t="s">
        <v>94</v>
      </c>
      <c r="AG1" s="41" t="s">
        <v>97</v>
      </c>
      <c r="AH1" s="41" t="s">
        <v>100</v>
      </c>
      <c r="AI1" s="41" t="s">
        <v>103</v>
      </c>
      <c r="AJ1" s="41" t="s">
        <v>105</v>
      </c>
      <c r="AK1" s="41" t="s">
        <v>108</v>
      </c>
    </row>
    <row r="2" spans="1:37">
      <c r="A2" s="39">
        <f>COLUMN()</f>
        <v>1</v>
      </c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91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</row>
    <row r="3" spans="1:37" ht="16">
      <c r="A3" s="39" t="s">
        <v>236</v>
      </c>
      <c r="B3" s="40" t="s">
        <v>235</v>
      </c>
      <c r="C3" s="40" t="s">
        <v>235</v>
      </c>
      <c r="D3" s="40" t="s">
        <v>235</v>
      </c>
      <c r="E3" s="40" t="s">
        <v>235</v>
      </c>
      <c r="F3" s="41" t="s">
        <v>236</v>
      </c>
      <c r="G3" s="40" t="s">
        <v>235</v>
      </c>
      <c r="H3" s="40" t="s">
        <v>235</v>
      </c>
      <c r="I3" s="41" t="s">
        <v>236</v>
      </c>
      <c r="J3" s="41" t="s">
        <v>236</v>
      </c>
      <c r="K3" s="42" t="s">
        <v>237</v>
      </c>
      <c r="L3" s="42" t="s">
        <v>237</v>
      </c>
      <c r="M3" s="42" t="s">
        <v>237</v>
      </c>
      <c r="N3" s="41" t="s">
        <v>236</v>
      </c>
      <c r="O3" s="41" t="s">
        <v>237</v>
      </c>
      <c r="P3" s="41" t="s">
        <v>237</v>
      </c>
      <c r="Q3" s="41" t="s">
        <v>237</v>
      </c>
      <c r="R3" s="41" t="s">
        <v>237</v>
      </c>
      <c r="S3" s="41" t="s">
        <v>236</v>
      </c>
      <c r="T3" s="41" t="s">
        <v>236</v>
      </c>
      <c r="U3" s="41" t="s">
        <v>236</v>
      </c>
      <c r="V3" s="41" t="s">
        <v>237</v>
      </c>
      <c r="W3" s="41" t="s">
        <v>236</v>
      </c>
      <c r="X3" s="41" t="s">
        <v>236</v>
      </c>
      <c r="Y3" s="41" t="s">
        <v>237</v>
      </c>
      <c r="Z3" s="41" t="s">
        <v>238</v>
      </c>
      <c r="AA3" s="41" t="s">
        <v>238</v>
      </c>
      <c r="AB3" s="41" t="s">
        <v>238</v>
      </c>
      <c r="AC3" s="41" t="s">
        <v>238</v>
      </c>
      <c r="AD3" s="41" t="s">
        <v>238</v>
      </c>
      <c r="AE3" s="41" t="s">
        <v>237</v>
      </c>
      <c r="AF3" s="41" t="s">
        <v>236</v>
      </c>
      <c r="AG3" s="41" t="s">
        <v>236</v>
      </c>
      <c r="AH3" s="41" t="s">
        <v>236</v>
      </c>
      <c r="AI3" s="41" t="s">
        <v>236</v>
      </c>
      <c r="AJ3" s="41" t="s">
        <v>236</v>
      </c>
      <c r="AK3" s="41" t="s">
        <v>237</v>
      </c>
    </row>
    <row r="4" spans="1:37" ht="32">
      <c r="A4" s="89" t="s">
        <v>245</v>
      </c>
      <c r="B4" s="43" t="s">
        <v>168</v>
      </c>
      <c r="C4" s="44" t="s">
        <v>166</v>
      </c>
      <c r="D4" s="44" t="s">
        <v>169</v>
      </c>
      <c r="E4" s="44" t="s">
        <v>170</v>
      </c>
      <c r="F4" s="44" t="s">
        <v>171</v>
      </c>
      <c r="G4" s="44" t="s">
        <v>172</v>
      </c>
      <c r="H4" s="44" t="s">
        <v>173</v>
      </c>
      <c r="I4" s="44" t="s">
        <v>167</v>
      </c>
      <c r="J4" s="44" t="s">
        <v>174</v>
      </c>
      <c r="K4" s="44" t="s">
        <v>175</v>
      </c>
      <c r="L4" s="44" t="s">
        <v>176</v>
      </c>
      <c r="M4" s="60" t="s">
        <v>177</v>
      </c>
      <c r="N4" s="44" t="s">
        <v>178</v>
      </c>
      <c r="O4" s="44" t="s">
        <v>179</v>
      </c>
      <c r="P4" s="44" t="s">
        <v>180</v>
      </c>
      <c r="Q4" s="44" t="s">
        <v>181</v>
      </c>
      <c r="R4" s="44" t="s">
        <v>182</v>
      </c>
      <c r="S4" s="44" t="s">
        <v>184</v>
      </c>
      <c r="T4" s="44" t="s">
        <v>185</v>
      </c>
      <c r="U4" s="44" t="s">
        <v>186</v>
      </c>
      <c r="V4" s="44" t="s">
        <v>187</v>
      </c>
      <c r="W4" s="44" t="s">
        <v>188</v>
      </c>
      <c r="X4" s="44" t="s">
        <v>189</v>
      </c>
      <c r="Y4" s="44" t="s">
        <v>190</v>
      </c>
      <c r="Z4" s="44" t="s">
        <v>191</v>
      </c>
      <c r="AA4" s="44" t="s">
        <v>192</v>
      </c>
      <c r="AB4" s="44" t="s">
        <v>193</v>
      </c>
      <c r="AC4" s="44" t="s">
        <v>194</v>
      </c>
      <c r="AD4" s="44" t="s">
        <v>195</v>
      </c>
      <c r="AE4" s="44" t="s">
        <v>196</v>
      </c>
      <c r="AF4" s="44" t="s">
        <v>197</v>
      </c>
      <c r="AG4" s="44" t="s">
        <v>198</v>
      </c>
      <c r="AH4" s="44" t="s">
        <v>199</v>
      </c>
      <c r="AI4" s="44" t="s">
        <v>200</v>
      </c>
      <c r="AJ4" s="44" t="s">
        <v>201</v>
      </c>
      <c r="AK4" s="44" t="s">
        <v>202</v>
      </c>
    </row>
    <row r="5" spans="1:37" ht="32">
      <c r="A5" s="89" t="s">
        <v>246</v>
      </c>
      <c r="B5" s="43" t="s">
        <v>17</v>
      </c>
      <c r="C5" s="44" t="s">
        <v>17</v>
      </c>
      <c r="D5" s="44" t="s">
        <v>23</v>
      </c>
      <c r="E5" s="44" t="s">
        <v>23</v>
      </c>
      <c r="F5" s="44" t="s">
        <v>23</v>
      </c>
      <c r="G5" s="44" t="s">
        <v>31</v>
      </c>
      <c r="H5" s="44" t="s">
        <v>34</v>
      </c>
      <c r="I5" s="44" t="s">
        <v>233</v>
      </c>
      <c r="J5" s="44" t="s">
        <v>233</v>
      </c>
      <c r="K5" s="44" t="s">
        <v>207</v>
      </c>
      <c r="L5" s="44" t="s">
        <v>207</v>
      </c>
      <c r="M5" s="44" t="s">
        <v>23</v>
      </c>
      <c r="N5" s="44" t="s">
        <v>23</v>
      </c>
      <c r="O5" s="59" t="s">
        <v>50</v>
      </c>
      <c r="P5" s="44" t="s">
        <v>23</v>
      </c>
      <c r="Q5" s="44" t="s">
        <v>23</v>
      </c>
      <c r="R5" s="44" t="s">
        <v>59</v>
      </c>
      <c r="S5" s="44" t="s">
        <v>23</v>
      </c>
      <c r="T5" s="44" t="s">
        <v>23</v>
      </c>
      <c r="U5" s="44" t="s">
        <v>23</v>
      </c>
      <c r="V5" s="44" t="s">
        <v>23</v>
      </c>
      <c r="W5" s="44" t="s">
        <v>59</v>
      </c>
      <c r="X5" s="44" t="s">
        <v>59</v>
      </c>
      <c r="Y5" s="59" t="s">
        <v>23</v>
      </c>
      <c r="Z5" s="59" t="s">
        <v>23</v>
      </c>
      <c r="AA5" s="59" t="s">
        <v>50</v>
      </c>
      <c r="AB5" s="44" t="s">
        <v>206</v>
      </c>
      <c r="AC5" s="44" t="s">
        <v>207</v>
      </c>
      <c r="AD5" s="44" t="s">
        <v>23</v>
      </c>
      <c r="AE5" s="44" t="s">
        <v>92</v>
      </c>
      <c r="AF5" s="44" t="s">
        <v>23</v>
      </c>
      <c r="AG5" s="44" t="s">
        <v>23</v>
      </c>
      <c r="AH5" s="44" t="s">
        <v>23</v>
      </c>
      <c r="AI5" s="59" t="s">
        <v>50</v>
      </c>
      <c r="AJ5" s="44" t="s">
        <v>23</v>
      </c>
      <c r="AK5" s="44" t="s">
        <v>23</v>
      </c>
    </row>
    <row r="6" spans="1:37" ht="17" thickBot="1">
      <c r="A6" s="90">
        <v>1</v>
      </c>
      <c r="B6" s="63">
        <f>LEN(B5)</f>
        <v>9</v>
      </c>
      <c r="C6" s="64">
        <f>LEN(C5)</f>
        <v>9</v>
      </c>
      <c r="D6" s="64">
        <v>4</v>
      </c>
      <c r="E6" s="64">
        <v>10</v>
      </c>
      <c r="F6" s="64">
        <v>60</v>
      </c>
      <c r="G6" s="64">
        <v>60</v>
      </c>
      <c r="H6" s="64">
        <v>60</v>
      </c>
      <c r="I6" s="64">
        <v>10</v>
      </c>
      <c r="J6" s="64">
        <v>10</v>
      </c>
      <c r="K6" s="64">
        <v>5</v>
      </c>
      <c r="L6" s="64">
        <v>5</v>
      </c>
      <c r="M6" s="64">
        <v>20</v>
      </c>
      <c r="N6" s="64">
        <v>150</v>
      </c>
      <c r="O6" s="64">
        <v>10</v>
      </c>
      <c r="P6" s="64">
        <v>40</v>
      </c>
      <c r="Q6" s="64">
        <v>30</v>
      </c>
      <c r="R6" s="64">
        <v>13</v>
      </c>
      <c r="S6" s="64">
        <v>30</v>
      </c>
      <c r="T6" s="64">
        <v>30</v>
      </c>
      <c r="U6" s="64">
        <v>20</v>
      </c>
      <c r="V6" s="64">
        <v>20</v>
      </c>
      <c r="W6" s="64">
        <v>20</v>
      </c>
      <c r="X6" s="64">
        <v>20</v>
      </c>
      <c r="Y6" s="64">
        <v>20</v>
      </c>
      <c r="Z6" s="64">
        <v>20</v>
      </c>
      <c r="AA6" s="64">
        <v>5</v>
      </c>
      <c r="AB6" s="64">
        <v>8</v>
      </c>
      <c r="AC6" s="64">
        <v>5</v>
      </c>
      <c r="AD6" s="64">
        <v>20</v>
      </c>
      <c r="AE6" s="64">
        <v>100</v>
      </c>
      <c r="AF6" s="64" t="s">
        <v>204</v>
      </c>
      <c r="AG6" s="64" t="s">
        <v>204</v>
      </c>
      <c r="AH6" s="64" t="s">
        <v>204</v>
      </c>
      <c r="AI6" s="64">
        <v>1</v>
      </c>
      <c r="AJ6" s="64">
        <v>30</v>
      </c>
      <c r="AK6" s="64">
        <v>50</v>
      </c>
    </row>
    <row r="7" spans="1:37" ht="50" thickTop="1" thickBot="1">
      <c r="A7" s="38">
        <v>0</v>
      </c>
      <c r="B7" s="74"/>
      <c r="C7" s="74"/>
      <c r="D7" s="74"/>
      <c r="E7" s="74"/>
      <c r="F7" s="51" t="s">
        <v>308</v>
      </c>
      <c r="G7" s="77"/>
      <c r="H7" s="77"/>
      <c r="I7" s="87">
        <v>45132</v>
      </c>
      <c r="J7" s="87">
        <v>45498</v>
      </c>
      <c r="K7" s="54" t="s">
        <v>234</v>
      </c>
      <c r="L7" s="54" t="s">
        <v>248</v>
      </c>
      <c r="M7" s="51"/>
      <c r="N7" s="51" t="s">
        <v>309</v>
      </c>
      <c r="O7" s="51"/>
      <c r="P7" s="51"/>
      <c r="Q7" s="51"/>
      <c r="R7" s="51"/>
      <c r="S7" s="51" t="s">
        <v>296</v>
      </c>
      <c r="T7" s="52" t="s">
        <v>249</v>
      </c>
      <c r="U7" s="52" t="s">
        <v>250</v>
      </c>
      <c r="V7" s="51"/>
      <c r="W7" s="57">
        <v>33.089782004836401</v>
      </c>
      <c r="X7" s="57">
        <v>131.762749467709</v>
      </c>
      <c r="Y7" s="51"/>
      <c r="Z7" s="77"/>
      <c r="AA7" s="77"/>
      <c r="AB7" s="84"/>
      <c r="AC7" s="85"/>
      <c r="AD7" s="77"/>
      <c r="AE7" s="72" t="s">
        <v>251</v>
      </c>
      <c r="AF7" s="51" t="s">
        <v>303</v>
      </c>
      <c r="AG7" s="51" t="s">
        <v>224</v>
      </c>
      <c r="AH7" s="51" t="s">
        <v>228</v>
      </c>
      <c r="AI7" s="38">
        <v>1</v>
      </c>
      <c r="AJ7" s="38" t="s">
        <v>252</v>
      </c>
      <c r="AK7" s="50"/>
    </row>
    <row r="8" spans="1:37" ht="33" thickTop="1">
      <c r="A8" s="38">
        <v>0</v>
      </c>
      <c r="B8" s="75"/>
      <c r="C8" s="75"/>
      <c r="D8" s="75"/>
      <c r="E8" s="75"/>
      <c r="F8" s="82" t="s">
        <v>310</v>
      </c>
      <c r="G8" s="78"/>
      <c r="H8" s="79"/>
      <c r="I8" s="88">
        <v>45132</v>
      </c>
      <c r="J8" s="87">
        <v>45498</v>
      </c>
      <c r="K8" s="67" t="s">
        <v>234</v>
      </c>
      <c r="L8" s="68" t="s">
        <v>248</v>
      </c>
      <c r="M8" s="69"/>
      <c r="N8" s="69" t="s">
        <v>253</v>
      </c>
      <c r="O8" s="66"/>
      <c r="P8" s="69"/>
      <c r="Q8" s="65" t="s">
        <v>254</v>
      </c>
      <c r="R8" s="66" t="s">
        <v>255</v>
      </c>
      <c r="S8" s="70" t="s">
        <v>297</v>
      </c>
      <c r="T8" s="53" t="s">
        <v>228</v>
      </c>
      <c r="U8" s="53" t="s">
        <v>256</v>
      </c>
      <c r="V8" s="38"/>
      <c r="W8" s="71">
        <v>33.121968098486398</v>
      </c>
      <c r="X8" s="71">
        <v>131.797831707364</v>
      </c>
      <c r="Y8" s="66"/>
      <c r="Z8" s="76"/>
      <c r="AA8" s="76"/>
      <c r="AB8" s="76"/>
      <c r="AC8" s="76"/>
      <c r="AD8" s="76"/>
      <c r="AE8" s="73" t="s">
        <v>257</v>
      </c>
      <c r="AF8" s="66" t="s">
        <v>304</v>
      </c>
      <c r="AG8" s="66" t="s">
        <v>224</v>
      </c>
      <c r="AH8" s="66" t="s">
        <v>228</v>
      </c>
      <c r="AI8" s="38">
        <v>1</v>
      </c>
      <c r="AJ8" s="38" t="s">
        <v>258</v>
      </c>
      <c r="AK8" s="38"/>
    </row>
    <row r="9" spans="1:37" ht="48">
      <c r="A9" s="38">
        <v>0</v>
      </c>
      <c r="B9" s="75"/>
      <c r="C9" s="75"/>
      <c r="D9" s="75"/>
      <c r="E9" s="75"/>
      <c r="F9" s="82" t="s">
        <v>311</v>
      </c>
      <c r="G9" s="78"/>
      <c r="H9" s="79"/>
      <c r="I9" s="88">
        <v>45130</v>
      </c>
      <c r="J9" s="88">
        <v>45498</v>
      </c>
      <c r="K9" s="67" t="s">
        <v>293</v>
      </c>
      <c r="L9" s="68" t="s">
        <v>291</v>
      </c>
      <c r="M9" s="69"/>
      <c r="N9" s="69" t="s">
        <v>259</v>
      </c>
      <c r="O9" s="66"/>
      <c r="P9" s="69"/>
      <c r="Q9" s="65" t="s">
        <v>260</v>
      </c>
      <c r="R9" s="66" t="s">
        <v>261</v>
      </c>
      <c r="S9" s="65" t="s">
        <v>298</v>
      </c>
      <c r="T9" s="53" t="s">
        <v>262</v>
      </c>
      <c r="U9" s="53" t="s">
        <v>263</v>
      </c>
      <c r="V9" s="38"/>
      <c r="W9" s="71">
        <v>33.121605559015698</v>
      </c>
      <c r="X9" s="71">
        <v>131.80324171718101</v>
      </c>
      <c r="Y9" s="66"/>
      <c r="Z9" s="76"/>
      <c r="AA9" s="76"/>
      <c r="AB9" s="76"/>
      <c r="AC9" s="76"/>
      <c r="AD9" s="76"/>
      <c r="AE9" s="62" t="s">
        <v>264</v>
      </c>
      <c r="AF9" s="66" t="s">
        <v>243</v>
      </c>
      <c r="AG9" s="66" t="s">
        <v>222</v>
      </c>
      <c r="AH9" s="66" t="s">
        <v>265</v>
      </c>
      <c r="AI9" s="38">
        <v>1</v>
      </c>
      <c r="AJ9" s="38" t="s">
        <v>266</v>
      </c>
      <c r="AK9" s="38"/>
    </row>
    <row r="10" spans="1:37" ht="32">
      <c r="A10" s="38">
        <v>0</v>
      </c>
      <c r="B10" s="75"/>
      <c r="C10" s="75"/>
      <c r="D10" s="75"/>
      <c r="E10" s="75"/>
      <c r="F10" s="53" t="s">
        <v>312</v>
      </c>
      <c r="G10" s="76"/>
      <c r="H10" s="80"/>
      <c r="I10" s="88">
        <v>45122</v>
      </c>
      <c r="J10" s="88">
        <v>45488</v>
      </c>
      <c r="K10" s="67" t="s">
        <v>294</v>
      </c>
      <c r="L10" s="68" t="s">
        <v>292</v>
      </c>
      <c r="M10" s="69"/>
      <c r="N10" s="53" t="s">
        <v>267</v>
      </c>
      <c r="O10" s="66"/>
      <c r="P10" s="69"/>
      <c r="Q10" s="38" t="s">
        <v>268</v>
      </c>
      <c r="R10" s="66" t="s">
        <v>269</v>
      </c>
      <c r="S10" s="38" t="s">
        <v>299</v>
      </c>
      <c r="T10" s="53" t="s">
        <v>270</v>
      </c>
      <c r="U10" s="53" t="s">
        <v>263</v>
      </c>
      <c r="V10" s="38"/>
      <c r="W10" s="71">
        <v>33.010419829710003</v>
      </c>
      <c r="X10" s="71">
        <v>131.735228267449</v>
      </c>
      <c r="Y10" s="66"/>
      <c r="Z10" s="76"/>
      <c r="AA10" s="76"/>
      <c r="AB10" s="76"/>
      <c r="AC10" s="76"/>
      <c r="AD10" s="76"/>
      <c r="AE10" s="62" t="s">
        <v>271</v>
      </c>
      <c r="AF10" s="66" t="s">
        <v>305</v>
      </c>
      <c r="AG10" s="66" t="s">
        <v>223</v>
      </c>
      <c r="AH10" s="66" t="s">
        <v>265</v>
      </c>
      <c r="AI10" s="38">
        <v>1</v>
      </c>
      <c r="AJ10" s="38" t="s">
        <v>272</v>
      </c>
      <c r="AK10" s="38"/>
    </row>
    <row r="11" spans="1:37" ht="32">
      <c r="A11" s="38">
        <v>0</v>
      </c>
      <c r="B11" s="75"/>
      <c r="C11" s="75"/>
      <c r="D11" s="75"/>
      <c r="E11" s="75"/>
      <c r="F11" s="53" t="s">
        <v>313</v>
      </c>
      <c r="G11" s="76"/>
      <c r="H11" s="80"/>
      <c r="I11" s="88">
        <v>45137</v>
      </c>
      <c r="J11" s="88">
        <v>45503</v>
      </c>
      <c r="K11" s="67" t="s">
        <v>293</v>
      </c>
      <c r="L11" s="68"/>
      <c r="M11" s="69"/>
      <c r="N11" s="53" t="s">
        <v>273</v>
      </c>
      <c r="O11" s="38"/>
      <c r="P11" s="53" t="s">
        <v>274</v>
      </c>
      <c r="Q11" s="38" t="s">
        <v>275</v>
      </c>
      <c r="R11" s="38" t="s">
        <v>276</v>
      </c>
      <c r="S11" s="38" t="s">
        <v>300</v>
      </c>
      <c r="T11" s="53" t="s">
        <v>277</v>
      </c>
      <c r="U11" s="53" t="s">
        <v>278</v>
      </c>
      <c r="V11" s="38"/>
      <c r="W11" s="58">
        <v>33.118642219135701</v>
      </c>
      <c r="X11" s="58">
        <v>131.798555925426</v>
      </c>
      <c r="Y11" s="66"/>
      <c r="Z11" s="76"/>
      <c r="AA11" s="76"/>
      <c r="AB11" s="76"/>
      <c r="AC11" s="76"/>
      <c r="AD11" s="76"/>
      <c r="AE11" s="62" t="s">
        <v>279</v>
      </c>
      <c r="AF11" s="66" t="s">
        <v>306</v>
      </c>
      <c r="AG11" s="66" t="s">
        <v>224</v>
      </c>
      <c r="AH11" s="66" t="s">
        <v>265</v>
      </c>
      <c r="AI11" s="38">
        <v>1</v>
      </c>
      <c r="AJ11" s="38" t="s">
        <v>280</v>
      </c>
      <c r="AK11" s="38"/>
    </row>
    <row r="12" spans="1:37" ht="32">
      <c r="A12" s="38">
        <v>0</v>
      </c>
      <c r="B12" s="75"/>
      <c r="C12" s="75"/>
      <c r="D12" s="75"/>
      <c r="E12" s="75"/>
      <c r="F12" s="53" t="s">
        <v>314</v>
      </c>
      <c r="G12" s="76"/>
      <c r="H12" s="80"/>
      <c r="I12" s="88">
        <v>45126</v>
      </c>
      <c r="J12" s="88">
        <v>45492</v>
      </c>
      <c r="K12" s="67" t="s">
        <v>295</v>
      </c>
      <c r="L12" s="68" t="s">
        <v>248</v>
      </c>
      <c r="M12" s="69"/>
      <c r="N12" s="53" t="s">
        <v>281</v>
      </c>
      <c r="O12" s="38">
        <v>0</v>
      </c>
      <c r="P12" s="53"/>
      <c r="Q12" s="38" t="s">
        <v>282</v>
      </c>
      <c r="R12" s="38" t="s">
        <v>283</v>
      </c>
      <c r="S12" s="38" t="s">
        <v>301</v>
      </c>
      <c r="T12" s="53" t="s">
        <v>284</v>
      </c>
      <c r="U12" s="53" t="s">
        <v>263</v>
      </c>
      <c r="V12" s="38"/>
      <c r="W12" s="58">
        <v>33.117449998754999</v>
      </c>
      <c r="X12" s="58">
        <v>131.79557594328401</v>
      </c>
      <c r="Y12" s="66"/>
      <c r="Z12" s="76"/>
      <c r="AA12" s="76"/>
      <c r="AB12" s="76"/>
      <c r="AC12" s="76"/>
      <c r="AD12" s="76"/>
      <c r="AE12" s="62" t="s">
        <v>285</v>
      </c>
      <c r="AF12" s="66" t="s">
        <v>305</v>
      </c>
      <c r="AG12" s="66" t="s">
        <v>222</v>
      </c>
      <c r="AH12" s="66" t="s">
        <v>265</v>
      </c>
      <c r="AI12" s="38">
        <v>1</v>
      </c>
      <c r="AJ12" s="38" t="s">
        <v>307</v>
      </c>
      <c r="AK12" s="38"/>
    </row>
    <row r="13" spans="1:37" ht="32">
      <c r="A13" s="38">
        <v>0</v>
      </c>
      <c r="B13" s="75"/>
      <c r="C13" s="75"/>
      <c r="D13" s="75"/>
      <c r="E13" s="75"/>
      <c r="F13" s="53" t="s">
        <v>315</v>
      </c>
      <c r="G13" s="76"/>
      <c r="H13" s="80"/>
      <c r="I13" s="88">
        <v>45129</v>
      </c>
      <c r="J13" s="88">
        <v>45496</v>
      </c>
      <c r="K13" s="67" t="s">
        <v>234</v>
      </c>
      <c r="L13" s="68" t="s">
        <v>291</v>
      </c>
      <c r="M13" s="69"/>
      <c r="N13" s="53" t="s">
        <v>286</v>
      </c>
      <c r="O13" s="38">
        <v>0</v>
      </c>
      <c r="P13" s="53"/>
      <c r="Q13" s="38" t="s">
        <v>287</v>
      </c>
      <c r="R13" s="38" t="s">
        <v>288</v>
      </c>
      <c r="S13" s="38" t="s">
        <v>302</v>
      </c>
      <c r="T13" s="53" t="s">
        <v>284</v>
      </c>
      <c r="U13" s="53" t="s">
        <v>263</v>
      </c>
      <c r="V13" s="38"/>
      <c r="W13" s="58">
        <v>33.118882911708702</v>
      </c>
      <c r="X13" s="58">
        <v>131.80690935119799</v>
      </c>
      <c r="Y13" s="66"/>
      <c r="Z13" s="76"/>
      <c r="AA13" s="76"/>
      <c r="AB13" s="76"/>
      <c r="AC13" s="76"/>
      <c r="AD13" s="76"/>
      <c r="AE13" s="62" t="s">
        <v>289</v>
      </c>
      <c r="AF13" s="66" t="s">
        <v>304</v>
      </c>
      <c r="AG13" s="66" t="s">
        <v>222</v>
      </c>
      <c r="AH13" s="66" t="s">
        <v>265</v>
      </c>
      <c r="AI13" s="38">
        <v>1</v>
      </c>
      <c r="AJ13" s="38" t="s">
        <v>290</v>
      </c>
      <c r="AK13" s="38"/>
    </row>
    <row r="14" spans="1:37">
      <c r="A14" s="38"/>
      <c r="B14" s="75"/>
      <c r="C14" s="75"/>
      <c r="D14" s="75"/>
      <c r="E14" s="75"/>
      <c r="F14" s="53"/>
      <c r="G14" s="76"/>
      <c r="H14" s="80"/>
      <c r="I14" s="88"/>
      <c r="J14" s="88"/>
      <c r="K14" s="67"/>
      <c r="L14" s="68"/>
      <c r="M14" s="69"/>
      <c r="N14" s="53"/>
      <c r="O14" s="38"/>
      <c r="P14" s="53"/>
      <c r="Q14" s="38"/>
      <c r="R14" s="38"/>
      <c r="S14" s="38"/>
      <c r="T14" s="53"/>
      <c r="U14" s="53"/>
      <c r="V14" s="38"/>
      <c r="W14" s="58"/>
      <c r="X14" s="58"/>
      <c r="Y14" s="66"/>
      <c r="Z14" s="76"/>
      <c r="AA14" s="76"/>
      <c r="AB14" s="76"/>
      <c r="AC14" s="76"/>
      <c r="AD14" s="76"/>
      <c r="AE14" s="62"/>
      <c r="AF14" s="66"/>
      <c r="AG14" s="66"/>
      <c r="AH14" s="66"/>
      <c r="AI14" s="38"/>
      <c r="AJ14" s="38"/>
      <c r="AK14" s="38"/>
    </row>
    <row r="15" spans="1:37">
      <c r="A15" s="38"/>
      <c r="B15" s="76"/>
      <c r="C15" s="76"/>
      <c r="D15" s="76"/>
      <c r="E15" s="76"/>
      <c r="F15" s="53"/>
      <c r="G15" s="76"/>
      <c r="H15" s="80"/>
      <c r="I15" s="88"/>
      <c r="J15" s="88"/>
      <c r="K15" s="55"/>
      <c r="L15" s="56"/>
      <c r="M15" s="53"/>
      <c r="N15" s="53"/>
      <c r="O15" s="38"/>
      <c r="P15" s="53"/>
      <c r="Q15" s="38"/>
      <c r="R15" s="38"/>
      <c r="S15" s="38"/>
      <c r="T15" s="38"/>
      <c r="U15" s="38"/>
      <c r="V15" s="38"/>
      <c r="W15" s="58"/>
      <c r="X15" s="58"/>
      <c r="Y15" s="38"/>
      <c r="Z15" s="76"/>
      <c r="AA15" s="76"/>
      <c r="AB15" s="76"/>
      <c r="AC15" s="76"/>
      <c r="AD15" s="76"/>
      <c r="AE15" s="53"/>
      <c r="AF15" s="38"/>
      <c r="AG15" s="38"/>
      <c r="AH15" s="38"/>
      <c r="AI15" s="38"/>
      <c r="AJ15" s="38"/>
      <c r="AK15" s="38"/>
    </row>
    <row r="16" spans="1:37">
      <c r="A16" s="38"/>
      <c r="B16" s="76"/>
      <c r="C16" s="76"/>
      <c r="D16" s="76"/>
      <c r="E16" s="76"/>
      <c r="F16" s="53"/>
      <c r="G16" s="76"/>
      <c r="H16" s="80"/>
      <c r="I16" s="88"/>
      <c r="J16" s="88"/>
      <c r="K16" s="55"/>
      <c r="L16" s="56"/>
      <c r="M16" s="53"/>
      <c r="N16" s="53"/>
      <c r="O16" s="38"/>
      <c r="P16" s="53"/>
      <c r="Q16" s="38"/>
      <c r="R16" s="38"/>
      <c r="S16" s="38"/>
      <c r="T16" s="38"/>
      <c r="U16" s="38"/>
      <c r="V16" s="38"/>
      <c r="W16" s="58"/>
      <c r="X16" s="58"/>
      <c r="Y16" s="38"/>
      <c r="Z16" s="76"/>
      <c r="AA16" s="76"/>
      <c r="AB16" s="76"/>
      <c r="AC16" s="76"/>
      <c r="AD16" s="76"/>
      <c r="AE16" s="53"/>
      <c r="AF16" s="38"/>
      <c r="AG16" s="38"/>
      <c r="AH16" s="38"/>
      <c r="AI16" s="38"/>
      <c r="AJ16" s="38"/>
      <c r="AK16" s="38"/>
    </row>
    <row r="17" spans="1:37">
      <c r="A17" s="38"/>
      <c r="B17" s="76"/>
      <c r="C17" s="76"/>
      <c r="D17" s="76"/>
      <c r="E17" s="76"/>
      <c r="F17" s="53"/>
      <c r="G17" s="76"/>
      <c r="H17" s="80"/>
      <c r="I17" s="88"/>
      <c r="J17" s="88"/>
      <c r="K17" s="55"/>
      <c r="L17" s="56"/>
      <c r="M17" s="53"/>
      <c r="N17" s="53"/>
      <c r="O17" s="38"/>
      <c r="P17" s="53"/>
      <c r="Q17" s="38"/>
      <c r="R17" s="38"/>
      <c r="S17" s="38"/>
      <c r="T17" s="38"/>
      <c r="U17" s="38"/>
      <c r="V17" s="38"/>
      <c r="W17" s="58"/>
      <c r="X17" s="58"/>
      <c r="Y17" s="38"/>
      <c r="Z17" s="76"/>
      <c r="AA17" s="76"/>
      <c r="AB17" s="76"/>
      <c r="AC17" s="76"/>
      <c r="AD17" s="76"/>
      <c r="AE17" s="53"/>
      <c r="AF17" s="38"/>
      <c r="AG17" s="38"/>
      <c r="AH17" s="38"/>
      <c r="AI17" s="38"/>
      <c r="AJ17" s="38"/>
      <c r="AK17" s="38"/>
    </row>
    <row r="18" spans="1:37">
      <c r="A18" s="38"/>
      <c r="B18" s="76"/>
      <c r="C18" s="76"/>
      <c r="D18" s="76"/>
      <c r="E18" s="76"/>
      <c r="F18" s="53"/>
      <c r="G18" s="76"/>
      <c r="H18" s="80"/>
      <c r="I18" s="88"/>
      <c r="J18" s="88"/>
      <c r="K18" s="55"/>
      <c r="L18" s="56"/>
      <c r="M18" s="53"/>
      <c r="N18" s="53"/>
      <c r="O18" s="38"/>
      <c r="P18" s="53"/>
      <c r="Q18" s="38"/>
      <c r="R18" s="38"/>
      <c r="S18" s="38"/>
      <c r="T18" s="38"/>
      <c r="U18" s="38"/>
      <c r="V18" s="38"/>
      <c r="W18" s="58"/>
      <c r="X18" s="58"/>
      <c r="Y18" s="38"/>
      <c r="Z18" s="76"/>
      <c r="AA18" s="76"/>
      <c r="AB18" s="76"/>
      <c r="AC18" s="76"/>
      <c r="AD18" s="76"/>
      <c r="AE18" s="53"/>
      <c r="AF18" s="38"/>
      <c r="AG18" s="38"/>
      <c r="AH18" s="38"/>
      <c r="AI18" s="38"/>
      <c r="AJ18" s="38"/>
      <c r="AK18" s="38"/>
    </row>
    <row r="19" spans="1:37">
      <c r="A19" s="38"/>
      <c r="B19" s="76"/>
      <c r="C19" s="76"/>
      <c r="D19" s="76"/>
      <c r="E19" s="76"/>
      <c r="F19" s="53"/>
      <c r="G19" s="76"/>
      <c r="H19" s="80"/>
      <c r="I19" s="88"/>
      <c r="J19" s="88"/>
      <c r="K19" s="55"/>
      <c r="L19" s="56"/>
      <c r="M19" s="53"/>
      <c r="N19" s="53"/>
      <c r="O19" s="38"/>
      <c r="P19" s="53"/>
      <c r="Q19" s="38"/>
      <c r="R19" s="38"/>
      <c r="S19" s="38"/>
      <c r="T19" s="38"/>
      <c r="U19" s="38"/>
      <c r="V19" s="38"/>
      <c r="W19" s="58"/>
      <c r="X19" s="58"/>
      <c r="Y19" s="38"/>
      <c r="Z19" s="76"/>
      <c r="AA19" s="76"/>
      <c r="AB19" s="76"/>
      <c r="AC19" s="76"/>
      <c r="AD19" s="76"/>
      <c r="AE19" s="53"/>
      <c r="AF19" s="38"/>
      <c r="AG19" s="38"/>
      <c r="AH19" s="38"/>
      <c r="AI19" s="38"/>
      <c r="AJ19" s="38"/>
      <c r="AK19" s="38"/>
    </row>
    <row r="20" spans="1:37">
      <c r="A20" s="38"/>
      <c r="B20" s="76"/>
      <c r="C20" s="76"/>
      <c r="D20" s="76"/>
      <c r="E20" s="76"/>
      <c r="F20" s="53"/>
      <c r="G20" s="76"/>
      <c r="H20" s="80"/>
      <c r="I20" s="88"/>
      <c r="J20" s="88"/>
      <c r="K20" s="55"/>
      <c r="L20" s="56"/>
      <c r="M20" s="53"/>
      <c r="N20" s="53"/>
      <c r="O20" s="38"/>
      <c r="P20" s="53"/>
      <c r="Q20" s="38"/>
      <c r="R20" s="38"/>
      <c r="S20" s="38"/>
      <c r="T20" s="38"/>
      <c r="U20" s="38"/>
      <c r="V20" s="38"/>
      <c r="W20" s="58"/>
      <c r="X20" s="58"/>
      <c r="Y20" s="38"/>
      <c r="Z20" s="76"/>
      <c r="AA20" s="76"/>
      <c r="AB20" s="76"/>
      <c r="AC20" s="76"/>
      <c r="AD20" s="76"/>
      <c r="AE20" s="53"/>
      <c r="AF20" s="38"/>
      <c r="AG20" s="38"/>
      <c r="AH20" s="38"/>
      <c r="AI20" s="38"/>
      <c r="AJ20" s="38"/>
      <c r="AK20" s="38"/>
    </row>
    <row r="21" spans="1:37">
      <c r="A21" s="38"/>
      <c r="B21" s="76">
        <v>1</v>
      </c>
      <c r="C21" s="76">
        <v>1</v>
      </c>
      <c r="D21" s="76">
        <v>1</v>
      </c>
      <c r="E21" s="76">
        <v>1</v>
      </c>
      <c r="F21" s="53">
        <v>1</v>
      </c>
      <c r="G21" s="76">
        <v>1</v>
      </c>
      <c r="H21" s="80">
        <v>1</v>
      </c>
      <c r="I21" s="88">
        <v>1</v>
      </c>
      <c r="J21" s="88">
        <v>1</v>
      </c>
      <c r="K21" s="55">
        <v>1</v>
      </c>
      <c r="L21" s="56">
        <v>1</v>
      </c>
      <c r="M21" s="53">
        <v>1</v>
      </c>
      <c r="N21" s="53">
        <v>1</v>
      </c>
      <c r="O21" s="38">
        <v>1</v>
      </c>
      <c r="P21" s="53">
        <v>1</v>
      </c>
      <c r="Q21" s="38">
        <v>1</v>
      </c>
      <c r="R21" s="38">
        <v>1</v>
      </c>
      <c r="S21" s="38">
        <v>1</v>
      </c>
      <c r="T21" s="38">
        <v>1</v>
      </c>
      <c r="U21" s="38">
        <v>1</v>
      </c>
      <c r="V21" s="38">
        <v>1</v>
      </c>
      <c r="W21" s="58">
        <v>1</v>
      </c>
      <c r="X21" s="58">
        <v>1</v>
      </c>
      <c r="Y21" s="38">
        <v>1</v>
      </c>
      <c r="Z21" s="76">
        <v>1</v>
      </c>
      <c r="AA21" s="76">
        <v>1</v>
      </c>
      <c r="AB21" s="76">
        <v>1</v>
      </c>
      <c r="AC21" s="76">
        <v>1</v>
      </c>
      <c r="AD21" s="76">
        <v>1</v>
      </c>
      <c r="AE21" s="53">
        <v>1</v>
      </c>
      <c r="AF21" s="38" t="s">
        <v>210</v>
      </c>
      <c r="AG21" s="38" t="s">
        <v>219</v>
      </c>
      <c r="AH21" s="38" t="s">
        <v>229</v>
      </c>
      <c r="AI21" s="38">
        <v>1</v>
      </c>
      <c r="AJ21" s="38">
        <v>1</v>
      </c>
      <c r="AK21" s="38">
        <v>1</v>
      </c>
    </row>
  </sheetData>
  <phoneticPr fontId="2"/>
  <conditionalFormatting sqref="A7:A1048576 F7:F1048576 I7:J1048576 N7:N1048576 S7:U1048576 W7:X1048576 AF7:AJ1048576">
    <cfRule type="cellIs" dxfId="1" priority="10" operator="equal">
      <formula>""</formula>
    </cfRule>
  </conditionalFormatting>
  <conditionalFormatting sqref="Y14">
    <cfRule type="expression" dxfId="0" priority="19">
      <formula>Y14=""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B7:AE21 AI7:AK21" xr:uid="{00000000-0002-0000-0000-000000000000}">
      <formula1>B$6</formula1>
    </dataValidation>
  </dataValidations>
  <pageMargins left="0.23622047244094491" right="0.23622047244094491" top="0.74803149606299213" bottom="0.74803149606299213" header="0" footer="0"/>
  <pageSetup paperSize="9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プルダウンの中から選択してください。" xr:uid="{00000000-0002-0000-0000-000004000000}">
          <x14:formula1>
            <xm:f>リスト!$B$2:$B$11</xm:f>
          </x14:formula1>
          <xm:sqref>AF7</xm:sqref>
        </x14:dataValidation>
        <x14:dataValidation type="list" operator="lessThanOrEqual" allowBlank="1" showInputMessage="1" showErrorMessage="1" error="プルダウンの中から設定してください。" xr:uid="{00000000-0002-0000-0000-000001000000}">
          <x14:formula1>
            <xm:f>リスト!$B$2:$B$11</xm:f>
          </x14:formula1>
          <xm:sqref>AF8:AF21</xm:sqref>
        </x14:dataValidation>
        <x14:dataValidation type="list" operator="lessThanOrEqual" allowBlank="1" showInputMessage="1" showErrorMessage="1" error="プルダウンの中から選択してください。" xr:uid="{00000000-0002-0000-0000-000002000000}">
          <x14:formula1>
            <xm:f>リスト!$C$2:$C$7</xm:f>
          </x14:formula1>
          <xm:sqref>AG7:AG21</xm:sqref>
        </x14:dataValidation>
        <x14:dataValidation type="list" allowBlank="1" showInputMessage="1" showErrorMessage="1" error="プルダウンの中から選択してください。" xr:uid="{00000000-0002-0000-0000-000003000000}">
          <x14:formula1>
            <xm:f>リスト!$D$2:$D$6</xm:f>
          </x14:formula1>
          <xm:sqref>AH7:AH21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1001"/>
  <sheetViews>
    <sheetView workbookViewId="0">
      <pane ySplit="3" topLeftCell="A25" activePane="bottomLeft" state="frozen"/>
      <selection pane="bottomLeft" activeCell="A4" sqref="A4"/>
    </sheetView>
  </sheetViews>
  <sheetFormatPr baseColWidth="10" defaultColWidth="14.5" defaultRowHeight="14"/>
  <cols>
    <col min="1" max="1" width="6.5" style="24" customWidth="1"/>
    <col min="2" max="3" width="26.5" style="24" customWidth="1"/>
    <col min="4" max="4" width="14" style="24" bestFit="1" customWidth="1"/>
    <col min="5" max="5" width="7.5" style="24" customWidth="1"/>
    <col min="6" max="6" width="65.5" style="24" customWidth="1"/>
    <col min="7" max="7" width="28.1640625" style="24" customWidth="1"/>
    <col min="8" max="8" width="38.5" style="24" customWidth="1"/>
    <col min="9" max="9" width="17.1640625" style="24" bestFit="1" customWidth="1"/>
    <col min="10" max="16" width="13.5" style="24" customWidth="1"/>
    <col min="17" max="29" width="9" style="24" customWidth="1"/>
    <col min="30" max="16384" width="14.5" style="24"/>
  </cols>
  <sheetData>
    <row r="1" spans="1:29" ht="17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7">
      <c r="A2" s="95" t="s">
        <v>0</v>
      </c>
      <c r="B2" s="93"/>
      <c r="C2" s="96"/>
      <c r="D2" s="96"/>
      <c r="E2" s="93"/>
      <c r="F2" s="93"/>
      <c r="G2" s="93"/>
      <c r="H2" s="93"/>
      <c r="I2" s="93"/>
      <c r="J2" s="92" t="s">
        <v>1</v>
      </c>
      <c r="K2" s="93"/>
      <c r="L2" s="93"/>
      <c r="M2" s="93"/>
      <c r="N2" s="93"/>
      <c r="O2" s="93"/>
      <c r="P2" s="94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6">
      <c r="A3" s="25" t="s">
        <v>2</v>
      </c>
      <c r="B3" s="26" t="s">
        <v>164</v>
      </c>
      <c r="C3" s="26" t="s">
        <v>165</v>
      </c>
      <c r="D3" s="26" t="s">
        <v>240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54">
      <c r="A4" s="2">
        <f t="shared" ref="A4:A41" si="0">ROW()-3</f>
        <v>1</v>
      </c>
      <c r="B4" s="2" t="s">
        <v>244</v>
      </c>
      <c r="C4" s="2" t="s">
        <v>245</v>
      </c>
      <c r="D4" s="82" t="s">
        <v>236</v>
      </c>
      <c r="E4" s="35">
        <v>1</v>
      </c>
      <c r="F4" s="2" t="s">
        <v>247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36">
      <c r="A5" s="2">
        <f t="shared" si="0"/>
        <v>2</v>
      </c>
      <c r="B5" s="2" t="s">
        <v>15</v>
      </c>
      <c r="C5" s="2" t="s">
        <v>168</v>
      </c>
      <c r="D5" s="82" t="s">
        <v>235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36">
      <c r="A6" s="2">
        <f t="shared" si="0"/>
        <v>3</v>
      </c>
      <c r="B6" s="2" t="s">
        <v>18</v>
      </c>
      <c r="C6" s="2" t="s">
        <v>166</v>
      </c>
      <c r="D6" s="82" t="s">
        <v>235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8">
      <c r="A7" s="2">
        <f t="shared" si="0"/>
        <v>4</v>
      </c>
      <c r="B7" s="2" t="s">
        <v>21</v>
      </c>
      <c r="C7" s="2" t="s">
        <v>169</v>
      </c>
      <c r="D7" s="82" t="s">
        <v>235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6">
      <c r="A8" s="2">
        <f t="shared" si="0"/>
        <v>5</v>
      </c>
      <c r="B8" s="2" t="s">
        <v>24</v>
      </c>
      <c r="C8" s="2" t="s">
        <v>170</v>
      </c>
      <c r="D8" s="82" t="s">
        <v>235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6">
      <c r="A9" s="2">
        <f t="shared" si="0"/>
        <v>6</v>
      </c>
      <c r="B9" s="2" t="s">
        <v>26</v>
      </c>
      <c r="C9" s="2" t="s">
        <v>171</v>
      </c>
      <c r="D9" s="69" t="s">
        <v>236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6">
      <c r="A10" s="2">
        <f t="shared" si="0"/>
        <v>7</v>
      </c>
      <c r="B10" s="2" t="s">
        <v>29</v>
      </c>
      <c r="C10" s="2" t="s">
        <v>172</v>
      </c>
      <c r="D10" s="82" t="s">
        <v>235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8">
      <c r="A11" s="2">
        <f t="shared" si="0"/>
        <v>8</v>
      </c>
      <c r="B11" s="2" t="s">
        <v>32</v>
      </c>
      <c r="C11" s="2" t="s">
        <v>173</v>
      </c>
      <c r="D11" s="82" t="s">
        <v>235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6">
      <c r="A12" s="2">
        <f t="shared" si="0"/>
        <v>9</v>
      </c>
      <c r="B12" s="2" t="s">
        <v>35</v>
      </c>
      <c r="C12" s="2" t="s">
        <v>167</v>
      </c>
      <c r="D12" s="69" t="s">
        <v>236</v>
      </c>
      <c r="E12" s="35"/>
      <c r="F12" s="2" t="s">
        <v>36</v>
      </c>
      <c r="G12" s="2" t="s">
        <v>203</v>
      </c>
      <c r="H12" s="30" t="s">
        <v>241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6">
      <c r="A13" s="2">
        <f t="shared" si="0"/>
        <v>10</v>
      </c>
      <c r="B13" s="2" t="s">
        <v>37</v>
      </c>
      <c r="C13" s="2" t="s">
        <v>174</v>
      </c>
      <c r="D13" s="69" t="s">
        <v>236</v>
      </c>
      <c r="E13" s="35"/>
      <c r="F13" s="2" t="s">
        <v>36</v>
      </c>
      <c r="G13" s="2" t="s">
        <v>203</v>
      </c>
      <c r="H13" s="30" t="s">
        <v>241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6">
      <c r="A14" s="2">
        <f t="shared" si="0"/>
        <v>11</v>
      </c>
      <c r="B14" s="2" t="s">
        <v>38</v>
      </c>
      <c r="C14" s="2" t="s">
        <v>175</v>
      </c>
      <c r="D14" s="83" t="s">
        <v>237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6">
      <c r="A15" s="2">
        <f t="shared" si="0"/>
        <v>12</v>
      </c>
      <c r="B15" s="2" t="s">
        <v>41</v>
      </c>
      <c r="C15" s="2" t="s">
        <v>176</v>
      </c>
      <c r="D15" s="83" t="s">
        <v>237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18">
      <c r="A16" s="2">
        <f t="shared" si="0"/>
        <v>13</v>
      </c>
      <c r="B16" s="33" t="s">
        <v>43</v>
      </c>
      <c r="C16" s="33" t="s">
        <v>177</v>
      </c>
      <c r="D16" s="83" t="s">
        <v>237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72">
      <c r="A17" s="2">
        <f t="shared" si="0"/>
        <v>14</v>
      </c>
      <c r="B17" s="2" t="s">
        <v>4</v>
      </c>
      <c r="C17" s="2" t="s">
        <v>178</v>
      </c>
      <c r="D17" s="69" t="s">
        <v>236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8">
      <c r="A18" s="2">
        <f t="shared" si="0"/>
        <v>15</v>
      </c>
      <c r="B18" s="2" t="s">
        <v>48</v>
      </c>
      <c r="C18" s="2" t="s">
        <v>179</v>
      </c>
      <c r="D18" s="69" t="s">
        <v>237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6">
      <c r="A19" s="2">
        <f t="shared" si="0"/>
        <v>16</v>
      </c>
      <c r="B19" s="2" t="s">
        <v>51</v>
      </c>
      <c r="C19" s="2" t="s">
        <v>180</v>
      </c>
      <c r="D19" s="69" t="s">
        <v>237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8">
      <c r="A20" s="2">
        <f t="shared" si="0"/>
        <v>17</v>
      </c>
      <c r="B20" s="2" t="s">
        <v>54</v>
      </c>
      <c r="C20" s="2" t="s">
        <v>181</v>
      </c>
      <c r="D20" s="69" t="s">
        <v>237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6">
      <c r="A21" s="2">
        <f t="shared" si="0"/>
        <v>18</v>
      </c>
      <c r="B21" s="2" t="s">
        <v>57</v>
      </c>
      <c r="C21" s="2" t="s">
        <v>182</v>
      </c>
      <c r="D21" s="69" t="s">
        <v>237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6">
      <c r="A22" s="2">
        <f t="shared" si="0"/>
        <v>19</v>
      </c>
      <c r="B22" s="2" t="s">
        <v>61</v>
      </c>
      <c r="C22" s="2" t="s">
        <v>183</v>
      </c>
      <c r="D22" s="69" t="s">
        <v>237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8">
      <c r="A23" s="2">
        <f t="shared" si="0"/>
        <v>20</v>
      </c>
      <c r="B23" s="2" t="s">
        <v>63</v>
      </c>
      <c r="C23" s="2" t="s">
        <v>184</v>
      </c>
      <c r="D23" s="69" t="s">
        <v>236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8">
      <c r="A24" s="2">
        <f t="shared" si="0"/>
        <v>21</v>
      </c>
      <c r="B24" s="2" t="s">
        <v>65</v>
      </c>
      <c r="C24" s="2" t="s">
        <v>185</v>
      </c>
      <c r="D24" s="69" t="s">
        <v>236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6">
      <c r="A25" s="2">
        <f t="shared" si="0"/>
        <v>22</v>
      </c>
      <c r="B25" s="2" t="s">
        <v>68</v>
      </c>
      <c r="C25" s="2" t="s">
        <v>186</v>
      </c>
      <c r="D25" s="69" t="s">
        <v>236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8">
      <c r="A26" s="2">
        <f t="shared" si="0"/>
        <v>23</v>
      </c>
      <c r="B26" s="2" t="s">
        <v>71</v>
      </c>
      <c r="C26" s="2" t="s">
        <v>187</v>
      </c>
      <c r="D26" s="69" t="s">
        <v>237</v>
      </c>
      <c r="E26" s="35"/>
      <c r="F26" s="2" t="s">
        <v>72</v>
      </c>
      <c r="G26" s="2" t="s">
        <v>23</v>
      </c>
      <c r="H26" s="3"/>
      <c r="I26" s="3">
        <v>20</v>
      </c>
      <c r="J26" s="86"/>
      <c r="K26" s="86"/>
      <c r="L26" s="86" t="s">
        <v>19</v>
      </c>
      <c r="M26" s="86"/>
      <c r="N26" s="86"/>
      <c r="O26" s="86"/>
      <c r="P26" s="86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6">
      <c r="A27" s="2">
        <f t="shared" si="0"/>
        <v>24</v>
      </c>
      <c r="B27" s="2" t="s">
        <v>73</v>
      </c>
      <c r="C27" s="2" t="s">
        <v>188</v>
      </c>
      <c r="D27" s="69" t="s">
        <v>236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6">
      <c r="A28" s="2">
        <f t="shared" si="0"/>
        <v>25</v>
      </c>
      <c r="B28" s="2" t="s">
        <v>75</v>
      </c>
      <c r="C28" s="2" t="s">
        <v>189</v>
      </c>
      <c r="D28" s="69" t="s">
        <v>236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8">
      <c r="A29" s="2">
        <f t="shared" si="0"/>
        <v>26</v>
      </c>
      <c r="B29" s="2" t="s">
        <v>77</v>
      </c>
      <c r="C29" s="2" t="s">
        <v>190</v>
      </c>
      <c r="D29" s="69" t="s">
        <v>237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8">
      <c r="A30" s="2">
        <f t="shared" si="0"/>
        <v>27</v>
      </c>
      <c r="B30" s="2" t="s">
        <v>80</v>
      </c>
      <c r="C30" s="2" t="s">
        <v>191</v>
      </c>
      <c r="D30" s="69" t="s">
        <v>238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8">
      <c r="A31" s="2">
        <f t="shared" si="0"/>
        <v>28</v>
      </c>
      <c r="B31" s="2" t="s">
        <v>82</v>
      </c>
      <c r="C31" s="2" t="s">
        <v>192</v>
      </c>
      <c r="D31" s="69" t="s">
        <v>238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6">
      <c r="A32" s="2">
        <f t="shared" si="0"/>
        <v>29</v>
      </c>
      <c r="B32" s="2" t="s">
        <v>84</v>
      </c>
      <c r="C32" s="2" t="s">
        <v>193</v>
      </c>
      <c r="D32" s="69" t="s">
        <v>238</v>
      </c>
      <c r="E32" s="35"/>
      <c r="F32" s="2" t="s">
        <v>85</v>
      </c>
      <c r="G32" s="2" t="s">
        <v>203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6">
      <c r="A33" s="2">
        <f t="shared" si="0"/>
        <v>30</v>
      </c>
      <c r="B33" s="2" t="s">
        <v>86</v>
      </c>
      <c r="C33" s="2" t="s">
        <v>194</v>
      </c>
      <c r="D33" s="69" t="s">
        <v>238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8">
      <c r="A34" s="2">
        <f t="shared" si="0"/>
        <v>31</v>
      </c>
      <c r="B34" s="2" t="s">
        <v>88</v>
      </c>
      <c r="C34" s="2" t="s">
        <v>195</v>
      </c>
      <c r="D34" s="69" t="s">
        <v>238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6">
      <c r="A35" s="2">
        <f t="shared" si="0"/>
        <v>32</v>
      </c>
      <c r="B35" s="2" t="s">
        <v>90</v>
      </c>
      <c r="C35" s="2" t="s">
        <v>196</v>
      </c>
      <c r="D35" s="69" t="s">
        <v>237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8">
      <c r="A36" s="2">
        <f t="shared" si="0"/>
        <v>33</v>
      </c>
      <c r="B36" s="2" t="s">
        <v>94</v>
      </c>
      <c r="C36" s="2" t="s">
        <v>197</v>
      </c>
      <c r="D36" s="69" t="s">
        <v>236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8">
      <c r="A37" s="2">
        <f t="shared" si="0"/>
        <v>34</v>
      </c>
      <c r="B37" s="2" t="s">
        <v>97</v>
      </c>
      <c r="C37" s="2" t="s">
        <v>198</v>
      </c>
      <c r="D37" s="69" t="s">
        <v>236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6">
      <c r="A38" s="2">
        <f t="shared" si="0"/>
        <v>35</v>
      </c>
      <c r="B38" s="2" t="s">
        <v>100</v>
      </c>
      <c r="C38" s="2" t="s">
        <v>199</v>
      </c>
      <c r="D38" s="69" t="s">
        <v>236</v>
      </c>
      <c r="E38" s="35"/>
      <c r="F38" s="2" t="s">
        <v>101</v>
      </c>
      <c r="G38" s="2" t="s">
        <v>23</v>
      </c>
      <c r="H38" s="3" t="s">
        <v>102</v>
      </c>
      <c r="I38" s="3" t="s">
        <v>205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8">
      <c r="A39" s="2">
        <f t="shared" si="0"/>
        <v>36</v>
      </c>
      <c r="B39" s="2" t="s">
        <v>103</v>
      </c>
      <c r="C39" s="2" t="s">
        <v>200</v>
      </c>
      <c r="D39" s="69" t="s">
        <v>236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8">
      <c r="A40" s="2">
        <f t="shared" si="0"/>
        <v>37</v>
      </c>
      <c r="B40" s="2" t="s">
        <v>105</v>
      </c>
      <c r="C40" s="2" t="s">
        <v>201</v>
      </c>
      <c r="D40" s="69" t="s">
        <v>236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8">
      <c r="A41" s="2">
        <f t="shared" si="0"/>
        <v>38</v>
      </c>
      <c r="B41" s="2" t="s">
        <v>108</v>
      </c>
      <c r="C41" s="2" t="s">
        <v>202</v>
      </c>
      <c r="D41" s="69" t="s">
        <v>237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7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7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7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7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7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7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7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7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7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7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7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7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7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7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7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7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7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7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7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7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7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7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7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7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7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7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7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7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7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7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7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7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7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7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7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7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7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7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7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7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7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7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7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7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7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7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7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7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7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7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7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7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7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7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7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7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7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7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7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7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7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7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7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7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7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7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7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7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7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7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7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7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7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7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7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7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7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7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7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7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7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7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7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7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7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7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7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7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7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7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7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7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7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7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7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7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7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7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7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7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7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7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7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7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7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7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7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7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7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7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7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7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7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7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7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7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7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7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7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7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7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7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7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7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7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7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7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7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7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7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7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7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7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7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7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7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7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7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7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7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7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7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7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7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7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7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7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7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7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7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7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7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7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7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7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7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7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7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7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7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7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7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7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7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7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7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7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7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7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7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7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7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7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7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7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7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7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7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7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7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7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7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7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7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7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7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7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7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7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7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7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7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7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7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7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7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7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7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7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7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7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7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7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7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7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7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7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7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7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7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7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7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7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7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7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7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7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7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7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7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7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7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7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7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7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7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7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7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7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7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7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7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7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7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7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7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7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7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7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7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7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7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7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7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7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7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7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7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7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7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7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7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7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7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7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7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7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7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7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7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7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7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7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7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7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7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7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7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7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7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7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7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7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7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7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7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7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7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7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7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7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7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7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7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7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7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7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7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7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7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7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7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7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7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7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7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7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7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7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7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7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7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7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7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7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7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7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7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7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7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7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7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7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7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7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7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7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7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7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7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7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7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7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7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7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7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7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7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7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7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7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7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7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7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7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7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7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7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7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7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7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7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7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7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7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7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7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7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7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7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7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7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7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7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7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7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7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7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7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7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7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7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7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7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7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7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7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7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7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7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7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7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7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7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7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7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7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7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7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7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7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7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7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7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7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7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7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7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7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7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7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7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7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7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7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7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7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7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7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7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7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7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7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7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7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7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7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7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7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7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7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7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7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7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7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7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7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7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7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7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7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7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7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7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7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7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7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7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7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7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7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7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7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7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7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7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7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7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7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7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7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7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7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7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7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7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7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7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7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7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7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7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7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7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7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7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7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7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7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7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7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7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7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7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7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7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7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7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7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7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7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7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7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7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7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7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7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7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7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7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7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7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7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7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7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7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7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7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7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7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7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7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7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7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7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7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7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7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7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7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7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7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7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7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7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7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7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7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7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7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7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7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7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7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7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7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7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7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7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7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7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7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7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7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7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7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7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7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7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7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7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7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7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7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7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7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7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7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7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7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7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7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7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7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7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7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7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7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7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7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7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7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7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7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7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7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7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7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7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7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7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7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7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7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7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7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7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7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7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7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7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7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7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7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7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7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7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7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7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7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7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7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7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7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7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7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7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7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7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7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7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7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7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7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7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7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7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7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7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7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7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7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7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7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7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7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7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7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7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7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7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7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7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7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7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7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7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7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7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7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7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7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7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7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7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7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7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7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7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7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7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7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7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7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7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7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7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7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7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7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7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7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7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7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7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7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7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7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7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7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7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7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7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7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7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7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7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7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7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7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7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7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7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7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7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7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7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7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7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7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7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7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7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7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7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7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7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7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7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7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7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7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7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7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7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7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7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7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7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7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7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7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7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7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7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7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7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7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7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7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7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7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7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7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7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7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7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7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7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7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7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7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7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7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7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7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7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7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7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7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7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7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7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7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7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7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7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7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7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7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7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7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7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7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7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7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7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7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7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7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7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7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7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7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7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7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7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7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7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7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7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7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7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7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7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7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7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7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7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7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7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7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7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7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7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7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7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7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7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7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7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7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7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7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7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7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7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7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7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7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7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7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7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7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7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7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7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7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7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7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7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7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7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7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7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7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7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7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7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7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7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7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7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7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7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7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7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7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7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7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7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7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7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7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7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7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7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7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7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7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7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7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7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7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7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7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7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7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7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7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7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7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7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7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7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7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7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7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7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7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7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7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7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7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7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7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7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7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7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7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7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7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7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7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7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7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7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7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7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7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7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7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7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7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7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7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7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7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7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7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7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7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7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7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7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7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7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7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7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7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7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7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7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7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7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7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7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7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7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7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7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7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7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7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7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7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7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7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7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7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7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7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7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7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7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7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7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7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7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7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7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7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7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7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7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7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7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7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7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7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7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7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7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7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7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7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7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7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7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7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7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7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7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7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7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7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7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7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7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7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7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7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7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7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7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7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7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7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7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7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7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7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7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7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7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7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7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7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7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7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 xr:uid="{00000000-0009-0000-0000-000001000000}"/>
  <mergeCells count="2">
    <mergeCell ref="J2:P2"/>
    <mergeCell ref="A2:I2"/>
  </mergeCells>
  <phoneticPr fontId="2"/>
  <hyperlinks>
    <hyperlink ref="H35" display="https://www.machikadomusic.net/2022/04/bluefes2022vol1-concert-by-the-sea/" xr:uid="{00000000-0004-0000-0100-000000000000}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1000"/>
  <sheetViews>
    <sheetView topLeftCell="A40" workbookViewId="0">
      <selection activeCell="K59" sqref="K59"/>
    </sheetView>
  </sheetViews>
  <sheetFormatPr baseColWidth="10" defaultColWidth="14.5" defaultRowHeight="15" customHeight="1"/>
  <cols>
    <col min="1" max="23" width="4.5" style="5" customWidth="1"/>
    <col min="24" max="26" width="3.1640625" style="5" customWidth="1"/>
    <col min="27" max="16384" width="14.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209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208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1"/>
  <sheetViews>
    <sheetView workbookViewId="0"/>
  </sheetViews>
  <sheetFormatPr baseColWidth="10" defaultColWidth="9.1640625" defaultRowHeight="16"/>
  <cols>
    <col min="1" max="1" width="2.83203125" style="45" customWidth="1"/>
    <col min="2" max="2" width="18.5" style="45" bestFit="1" customWidth="1"/>
    <col min="3" max="3" width="8.5" style="45" bestFit="1" customWidth="1"/>
    <col min="4" max="4" width="17.83203125" style="45" bestFit="1" customWidth="1"/>
    <col min="5" max="16384" width="9.1640625" style="45"/>
  </cols>
  <sheetData>
    <row r="1" spans="2:4">
      <c r="B1" s="49" t="s">
        <v>225</v>
      </c>
      <c r="C1" s="49" t="s">
        <v>226</v>
      </c>
      <c r="D1" s="49" t="s">
        <v>227</v>
      </c>
    </row>
    <row r="2" spans="2:4">
      <c r="B2" s="48" t="s">
        <v>210</v>
      </c>
      <c r="C2" s="48" t="s">
        <v>219</v>
      </c>
      <c r="D2" s="47" t="s">
        <v>228</v>
      </c>
    </row>
    <row r="3" spans="2:4">
      <c r="B3" s="47" t="s">
        <v>211</v>
      </c>
      <c r="C3" s="47" t="s">
        <v>220</v>
      </c>
      <c r="D3" s="47" t="s">
        <v>230</v>
      </c>
    </row>
    <row r="4" spans="2:4">
      <c r="B4" s="47" t="s">
        <v>212</v>
      </c>
      <c r="C4" s="47" t="s">
        <v>221</v>
      </c>
      <c r="D4" s="47" t="s">
        <v>231</v>
      </c>
    </row>
    <row r="5" spans="2:4">
      <c r="B5" s="47" t="s">
        <v>213</v>
      </c>
      <c r="C5" s="47" t="s">
        <v>222</v>
      </c>
      <c r="D5" s="47" t="s">
        <v>232</v>
      </c>
    </row>
    <row r="6" spans="2:4">
      <c r="B6" s="47" t="s">
        <v>214</v>
      </c>
      <c r="C6" s="47" t="s">
        <v>223</v>
      </c>
      <c r="D6" s="81" t="s">
        <v>239</v>
      </c>
    </row>
    <row r="7" spans="2:4">
      <c r="B7" s="47" t="s">
        <v>215</v>
      </c>
      <c r="C7" s="47" t="s">
        <v>224</v>
      </c>
    </row>
    <row r="8" spans="2:4">
      <c r="B8" s="47" t="s">
        <v>96</v>
      </c>
      <c r="C8" s="46"/>
    </row>
    <row r="9" spans="2:4">
      <c r="B9" s="47" t="s">
        <v>216</v>
      </c>
      <c r="C9" s="46"/>
    </row>
    <row r="10" spans="2:4">
      <c r="B10" s="47" t="s">
        <v>217</v>
      </c>
      <c r="C10" s="46"/>
    </row>
    <row r="11" spans="2:4">
      <c r="B11" s="47" t="s">
        <v>218</v>
      </c>
      <c r="C11" s="4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西川 伸一</cp:lastModifiedBy>
  <dcterms:created xsi:type="dcterms:W3CDTF">2023-03-21T23:50:32Z</dcterms:created>
  <dcterms:modified xsi:type="dcterms:W3CDTF">2023-08-27T11:28:19Z</dcterms:modified>
</cp:coreProperties>
</file>